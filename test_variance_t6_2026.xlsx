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ython\VSF\"/>
    </mc:Choice>
  </mc:AlternateContent>
  <xr:revisionPtr revIDLastSave="0" documentId="13_ncr:1_{0630C3A2-7CB0-4893-A40F-12E856FC496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Variance T6-2026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9" i="1" l="1"/>
  <c r="B19" i="1"/>
  <c r="C15" i="1"/>
  <c r="B15" i="1"/>
  <c r="C6" i="1"/>
  <c r="B6" i="1"/>
</calcChain>
</file>

<file path=xl/sharedStrings.xml><?xml version="1.0" encoding="utf-8"?>
<sst xmlns="http://schemas.openxmlformats.org/spreadsheetml/2006/main" count="34" uniqueCount="24">
  <si>
    <t>Khoản mục</t>
  </si>
  <si>
    <t>Ngân sách</t>
  </si>
  <si>
    <t>Thực tế</t>
  </si>
  <si>
    <t>Loại</t>
  </si>
  <si>
    <t>── DOANH THU ──</t>
  </si>
  <si>
    <t>Doanh thu sản phẩm A</t>
  </si>
  <si>
    <t>revenue</t>
  </si>
  <si>
    <t>Doanh thu sản phẩm B</t>
  </si>
  <si>
    <t>Doanh thu dịch vụ</t>
  </si>
  <si>
    <t>Tổng doanh thu</t>
  </si>
  <si>
    <t>── CHI PHÍ HOẠT ĐỘNG ──</t>
  </si>
  <si>
    <t>Chi phí lương &amp; BHXH</t>
  </si>
  <si>
    <t>expense</t>
  </si>
  <si>
    <t>Chi phí thuê văn phòng</t>
  </si>
  <si>
    <t>Chi phí marketing</t>
  </si>
  <si>
    <t>Chi phí vận hành IT</t>
  </si>
  <si>
    <t>Chi phí đi lại công tác</t>
  </si>
  <si>
    <t>Chi phí văn phòng phẩm</t>
  </si>
  <si>
    <t>Chi phí điện, nước</t>
  </si>
  <si>
    <t>Tổng chi phí</t>
  </si>
  <si>
    <t>── CHI PHÍ KHÁC ──</t>
  </si>
  <si>
    <t>Chi phí khấu hao TSCĐ</t>
  </si>
  <si>
    <t>Chi phí lãi vay</t>
  </si>
  <si>
    <t>Tổng chi phí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</si>
</sst>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1F5C99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5C99"/>
        <bgColor rgb="FF333399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left" indent="1"/>
    </xf>
    <xf numFmtId="3" fontId="3" fillId="4" borderId="1" xfId="0" applyNumberFormat="1" applyFont="1" applyFill="1" applyBorder="1"/>
    <xf numFmtId="0" fontId="3" fillId="4" borderId="1" xfId="0" applyFont="1" applyFill="1" applyBorder="1"/>
    <xf numFmtId="0" fontId="4" fillId="0" borderId="1" xfId="0" applyFont="1" applyBorder="1" applyAlignment="1">
      <alignment horizontal="left" indent="1"/>
    </xf>
    <xf numFmtId="0" fontId="4" fillId="0" borderId="1" xfId="0" applyFont="1" applyBorder="1"/>
    <xf numFmtId="0" fontId="3" fillId="0" borderId="1" xfId="0" applyFont="1" applyBorder="1" applyAlignment="1">
      <alignment horizontal="left" indent="1"/>
    </xf>
    <xf numFmtId="3" fontId="3" fillId="0" borderId="1" xfId="0" applyNumberFormat="1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1F5C99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3" width="18" customWidth="1"/>
    <col min="4" max="4" width="17.33203125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3">
      <c r="A2" s="2" t="s">
        <v>4</v>
      </c>
      <c r="B2" s="3"/>
      <c r="C2" s="3"/>
      <c r="D2" s="3"/>
    </row>
    <row r="3" spans="1:4" ht="15" customHeight="1" x14ac:dyDescent="0.3">
      <c r="A3" s="4" t="s">
        <v>5</v>
      </c>
      <c r="B3" s="5">
        <v>800000000</v>
      </c>
      <c r="C3" s="5">
        <v>920000000</v>
      </c>
      <c r="D3" s="6" t="s">
        <v>6</v>
      </c>
    </row>
    <row r="4" spans="1:4" ht="15" customHeight="1" x14ac:dyDescent="0.3">
      <c r="A4" s="4" t="s">
        <v>7</v>
      </c>
      <c r="B4" s="5">
        <v>500000000</v>
      </c>
      <c r="C4" s="5">
        <v>430000000</v>
      </c>
      <c r="D4" s="6" t="s">
        <v>6</v>
      </c>
    </row>
    <row r="5" spans="1:4" ht="15" customHeight="1" x14ac:dyDescent="0.3">
      <c r="A5" s="4" t="s">
        <v>8</v>
      </c>
      <c r="B5" s="5">
        <v>200000000</v>
      </c>
      <c r="C5" s="5">
        <v>215000000</v>
      </c>
      <c r="D5" s="6" t="s">
        <v>6</v>
      </c>
    </row>
    <row r="6" spans="1:4" ht="15" customHeight="1" x14ac:dyDescent="0.3">
      <c r="A6" s="7" t="s">
        <v>9</v>
      </c>
      <c r="B6" s="8">
        <f>SUM(B3:B5)</f>
        <v>1500000000</v>
      </c>
      <c r="C6" s="8">
        <f>SUM(C3:C5)</f>
        <v>1565000000</v>
      </c>
      <c r="D6" s="8"/>
    </row>
    <row r="7" spans="1:4" ht="15" customHeight="1" x14ac:dyDescent="0.3">
      <c r="A7" s="2" t="s">
        <v>10</v>
      </c>
      <c r="B7" s="3"/>
      <c r="C7" s="3"/>
      <c r="D7" s="3"/>
    </row>
    <row r="8" spans="1:4" ht="15" customHeight="1" x14ac:dyDescent="0.3">
      <c r="A8" s="9" t="s">
        <v>11</v>
      </c>
      <c r="B8" s="10">
        <v>350000000</v>
      </c>
      <c r="C8" s="10">
        <v>412000000</v>
      </c>
      <c r="D8" s="11" t="s">
        <v>12</v>
      </c>
    </row>
    <row r="9" spans="1:4" ht="15" customHeight="1" x14ac:dyDescent="0.3">
      <c r="A9" s="9" t="s">
        <v>13</v>
      </c>
      <c r="B9" s="10">
        <v>120000000</v>
      </c>
      <c r="C9" s="10">
        <v>120000000</v>
      </c>
      <c r="D9" s="11" t="s">
        <v>12</v>
      </c>
    </row>
    <row r="10" spans="1:4" ht="15" customHeight="1" x14ac:dyDescent="0.3">
      <c r="A10" s="9" t="s">
        <v>14</v>
      </c>
      <c r="B10" s="10">
        <v>150000000</v>
      </c>
      <c r="C10" s="10">
        <v>138000000</v>
      </c>
      <c r="D10" s="11" t="s">
        <v>12</v>
      </c>
    </row>
    <row r="11" spans="1:4" ht="15" customHeight="1" x14ac:dyDescent="0.3">
      <c r="A11" s="9" t="s">
        <v>15</v>
      </c>
      <c r="B11" s="10">
        <v>80000000</v>
      </c>
      <c r="C11" s="10">
        <v>105000000</v>
      </c>
      <c r="D11" s="11" t="s">
        <v>12</v>
      </c>
    </row>
    <row r="12" spans="1:4" ht="15" customHeight="1" x14ac:dyDescent="0.3">
      <c r="A12" s="9" t="s">
        <v>16</v>
      </c>
      <c r="B12" s="10">
        <v>40000000</v>
      </c>
      <c r="C12" s="10">
        <v>67000000</v>
      </c>
      <c r="D12" s="11" t="s">
        <v>12</v>
      </c>
    </row>
    <row r="13" spans="1:4" ht="15" customHeight="1" x14ac:dyDescent="0.3">
      <c r="A13" s="9" t="s">
        <v>17</v>
      </c>
      <c r="B13" s="10">
        <v>15000000</v>
      </c>
      <c r="C13" s="10">
        <v>16500000</v>
      </c>
      <c r="D13" s="11" t="s">
        <v>12</v>
      </c>
    </row>
    <row r="14" spans="1:4" ht="15" customHeight="1" x14ac:dyDescent="0.3">
      <c r="A14" s="9" t="s">
        <v>18</v>
      </c>
      <c r="B14" s="10">
        <v>25000000</v>
      </c>
      <c r="C14" s="10">
        <v>24000000</v>
      </c>
      <c r="D14" s="11" t="s">
        <v>12</v>
      </c>
    </row>
    <row r="15" spans="1:4" ht="15" customHeight="1" x14ac:dyDescent="0.3">
      <c r="A15" s="7" t="s">
        <v>19</v>
      </c>
      <c r="B15" s="8">
        <f>SUM(B8:B14)</f>
        <v>780000000</v>
      </c>
      <c r="C15" s="8">
        <f>SUM(C8:C14)</f>
        <v>882500000</v>
      </c>
      <c r="D15" s="8"/>
    </row>
    <row r="16" spans="1:4" ht="15" customHeight="1" x14ac:dyDescent="0.3">
      <c r="A16" s="2" t="s">
        <v>20</v>
      </c>
      <c r="B16" s="3"/>
      <c r="C16" s="3"/>
      <c r="D16" s="3"/>
    </row>
    <row r="17" spans="1:4" ht="15" customHeight="1" x14ac:dyDescent="0.3">
      <c r="A17" s="9" t="s">
        <v>21</v>
      </c>
      <c r="B17" s="10">
        <v>60000000</v>
      </c>
      <c r="C17" s="10">
        <v>60000000</v>
      </c>
      <c r="D17" s="11" t="s">
        <v>12</v>
      </c>
    </row>
    <row r="18" spans="1:4" ht="15" customHeight="1" x14ac:dyDescent="0.3">
      <c r="A18" s="9" t="s">
        <v>22</v>
      </c>
      <c r="B18" s="10">
        <v>30000000</v>
      </c>
      <c r="C18" s="10">
        <v>38000000</v>
      </c>
      <c r="D18" s="11" t="s">
        <v>12</v>
      </c>
    </row>
    <row r="19" spans="1:4" ht="15" customHeight="1" x14ac:dyDescent="0.3">
      <c r="A19" s="7" t="s">
        <v>23</v>
      </c>
      <c r="B19" s="8">
        <f>SUM(B17:B18)</f>
        <v>90000000</v>
      </c>
      <c r="C19" s="8">
        <f>SUM(C17:C18)</f>
        <v>98000000</v>
      </c>
      <c r="D19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 T6-2026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Gia Bảo Ngô</cp:lastModifiedBy>
  <cp:revision>0</cp:revision>
  <dcterms:created xsi:type="dcterms:W3CDTF">2026-06-03T03:06:56Z</dcterms:created>
  <dcterms:modified xsi:type="dcterms:W3CDTF">2026-06-03T04:53:54Z</dcterms:modified>
  <dc:language>en-US</dc:language>
</cp:coreProperties>
</file>